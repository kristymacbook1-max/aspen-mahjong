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6" autoFilterDateGrouping="1"/>
  </bookViews>
  <sheets>
    <sheet name="README" sheetId="1" state="visible" r:id="rId1"/>
    <sheet name="Deliverables" sheetId="2" state="visible" r:id="rId2"/>
    <sheet name="Factors" sheetId="3" state="visible" r:id="rId3"/>
    <sheet name="TechTable" sheetId="4" state="visible" r:id="rId4"/>
    <sheet name="TokenTable" sheetId="5" state="visible" r:id="rId5"/>
    <sheet name="Inputs" sheetId="6" state="visible" r:id="rId6"/>
    <sheet name="Calc" sheetId="7" state="visible" r:id="rId7"/>
    <sheet name="Calibration" sheetId="8" state="visible" r:id="rId8"/>
  </sheets>
  <definedNames>
    <definedName name="in_MatterID">Inputs!$B$5</definedName>
    <definedName name="in_MatterName">Inputs!$B$6</definedName>
    <definedName name="in_Deliverable">Inputs!$B$7</definedName>
    <definedName name="in_TechTier">Inputs!$B$8</definedName>
    <definedName name="in_TokenTier">Inputs!$B$9</definedName>
    <definedName name="in_Override">Inputs!$B$10</definedName>
    <definedName name="in_OverrideReason">Inputs!$B$11</definedName>
    <definedName name="in_Approver">Inputs!$B$12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_($* #,##0.00_);_($* (#,##0.00);_($* &quot;-&quot;??_);_(@_)"/>
    <numFmt numFmtId="165" formatCode="0.0%"/>
    <numFmt numFmtId="166" formatCode="0.000"/>
  </numFmts>
  <fonts count="10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  <font>
      <b val="1"/>
    </font>
    <font>
      <b val="1"/>
      <sz val="14"/>
    </font>
    <font>
      <i val="1"/>
      <color rgb="00595959"/>
    </font>
    <font>
      <color rgb="000047AB"/>
    </font>
    <font>
      <i val="1"/>
      <color rgb="00C00000"/>
    </font>
    <font>
      <color rgb="00000000"/>
    </font>
    <font>
      <b val="1"/>
      <color rgb="00000000"/>
      <sz val="12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0" fillId="0" borderId="1" pivotButton="0" quotePrefix="0" xfId="0"/>
    <xf numFmtId="164" fontId="0" fillId="0" borderId="1" pivotButton="0" quotePrefix="0" xfId="0"/>
    <xf numFmtId="0" fontId="3" fillId="0" borderId="0" pivotButton="0" quotePrefix="0" xfId="0"/>
    <xf numFmtId="0" fontId="0" fillId="3" borderId="0" pivotButton="0" quotePrefix="0" xfId="0"/>
    <xf numFmtId="0" fontId="0" fillId="0" borderId="1" applyAlignment="1" pivotButton="0" quotePrefix="0" xfId="0">
      <alignment vertical="top" wrapText="1"/>
    </xf>
    <xf numFmtId="2" fontId="0" fillId="0" borderId="1" pivotButton="0" quotePrefix="0" xfId="0"/>
    <xf numFmtId="3" fontId="0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4" borderId="1" pivotButton="0" quotePrefix="0" xfId="0"/>
    <xf numFmtId="0" fontId="6" fillId="0" borderId="1" pivotButton="0" quotePrefix="0" xfId="0"/>
    <xf numFmtId="164" fontId="6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165" fontId="6" fillId="0" borderId="1" pivotButton="0" quotePrefix="0" xfId="0"/>
    <xf numFmtId="166" fontId="8" fillId="0" borderId="1" pivotButton="0" quotePrefix="0" xfId="0"/>
    <xf numFmtId="164" fontId="8" fillId="0" borderId="1" pivotButton="0" quotePrefix="0" xfId="0"/>
    <xf numFmtId="2" fontId="8" fillId="0" borderId="1" pivotButton="0" quotePrefix="0" xfId="0"/>
    <xf numFmtId="1" fontId="8" fillId="0" borderId="1" pivotButton="0" quotePrefix="0" xfId="0"/>
    <xf numFmtId="165" fontId="8" fillId="0" borderId="1" pivotButton="0" quotePrefix="0" xfId="0"/>
    <xf numFmtId="0" fontId="8" fillId="0" borderId="1" pivotButton="0" quotePrefix="0" xfId="0"/>
    <xf numFmtId="0" fontId="3" fillId="5" borderId="1" pivotButton="0" quotePrefix="0" xfId="0"/>
    <xf numFmtId="164" fontId="9" fillId="5" borderId="1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Deliverables" displayName="Deliverables" ref="A1:D8" headerRowCount="1">
  <autoFilter ref="A1:D8"/>
  <tableColumns count="4">
    <tableColumn id="1" name="Deliverable_Name"/>
    <tableColumn id="2" name="Base_Unit_Price"/>
    <tableColumn id="3" name="Typical_Turnaround_Days"/>
    <tableColumn id="4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Factors" displayName="Factors" ref="A6:D14" headerRowCount="1">
  <autoFilter ref="A6:D14"/>
  <tableColumns count="4">
    <tableColumn id="1" name="Factor_Name"/>
    <tableColumn id="2" name="Score_1"/>
    <tableColumn id="3" name="Score_3"/>
    <tableColumn id="4" name="Score_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echTable" displayName="TechTable" ref="A1:C6" headerRowCount="1">
  <autoFilter ref="A1:C6"/>
  <tableColumns count="3">
    <tableColumn id="1" name="Tech_Tier"/>
    <tableColumn id="2" name="Description"/>
    <tableColumn id="3" name="Multiplier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okenTable" displayName="TokenTable" ref="A1:C6" headerRowCount="1">
  <autoFilter ref="A1:C6"/>
  <tableColumns count="3">
    <tableColumn id="1" name="Token_Tier"/>
    <tableColumn id="2" name="Est_Tokens"/>
    <tableColumn id="3" name="Token_Cos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CalcFactors" displayName="CalcFactors" ref="A6:D14" headerRowCount="1">
  <autoFilter ref="A6:D14"/>
  <tableColumns count="4">
    <tableColumn id="1" name="Factor_Name"/>
    <tableColumn id="2" name="Weight"/>
    <tableColumn id="3" name="Score"/>
    <tableColumn id="4" name="Contribution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Calibration" displayName="Calibration" ref="A1:K2" headerRowCount="1">
  <autoFilter ref="A1:K2"/>
  <tableColumns count="11">
    <tableColumn id="1" name="Matter_ID"/>
    <tableColumn id="2" name="Matter_Name"/>
    <tableColumn id="3" name="Deliverable_Type"/>
    <tableColumn id="4" name="Proposed_Unit_Price"/>
    <tableColumn id="5" name="Actual_Final_Price"/>
    <tableColumn id="6" name="Actual_Effort_Cost"/>
    <tableColumn id="7" name="Margin_%"/>
    <tableColumn id="8" name="Partner_Feedback"/>
    <tableColumn id="9" name="Client_Reaction"/>
    <tableColumn id="10" name="Adjustment_Needed"/>
    <tableColumn id="11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Unit Pricing Workbook</t>
        </is>
      </c>
    </row>
    <row r="2">
      <c r="A2" t="inlineStr"/>
    </row>
    <row r="3">
      <c r="A3" t="inlineStr">
        <is>
          <t>Purpose: price a deliverable by combining a base price, factor scores,</t>
        </is>
      </c>
    </row>
    <row r="4">
      <c r="A4" t="inlineStr">
        <is>
          <t>a tech-stack tier, a token-usage tier, and an AI-automation discount.</t>
        </is>
      </c>
    </row>
    <row r="5">
      <c r="A5" t="inlineStr"/>
    </row>
    <row r="6">
      <c r="A6" t="inlineStr">
        <is>
          <t>Convention:</t>
        </is>
      </c>
    </row>
    <row r="7">
      <c r="A7" t="inlineStr">
        <is>
          <t xml:space="preserve">  • Blue font = input (editable)</t>
        </is>
      </c>
    </row>
    <row r="8">
      <c r="A8" t="inlineStr">
        <is>
          <t xml:space="preserve">  • Black font = formula (do not overwrite)</t>
        </is>
      </c>
    </row>
    <row r="9">
      <c r="A9" t="inlineStr"/>
    </row>
    <row r="10">
      <c r="A10" t="inlineStr">
        <is>
          <t>Workflow:</t>
        </is>
      </c>
    </row>
    <row r="11">
      <c r="A11" t="inlineStr">
        <is>
          <t xml:space="preserve">  1. Pick deliverable on the Inputs tab.</t>
        </is>
      </c>
    </row>
    <row r="12">
      <c r="A12" t="inlineStr">
        <is>
          <t xml:space="preserve">  2. Assign scores on the Calc tab (1, 3, or 5 per factor).</t>
        </is>
      </c>
    </row>
    <row r="13">
      <c r="A13" t="inlineStr">
        <is>
          <t xml:space="preserve">  3. Read the calculated Unit Price on the Calc tab.</t>
        </is>
      </c>
    </row>
    <row r="14">
      <c r="A14" t="inlineStr">
        <is>
          <t xml:space="preserve">  4. If overridden, populate Override_Reason and Approver on Inputs.</t>
        </is>
      </c>
    </row>
    <row r="15">
      <c r="A15" t="inlineStr">
        <is>
          <t xml:space="preserve">  5. Log outcomes on the Calibration tab after the matter closes.</t>
        </is>
      </c>
    </row>
    <row r="16">
      <c r="A16" t="inlineStr"/>
    </row>
    <row r="17">
      <c r="A17" t="inlineStr">
        <is>
          <t>Scoring rule (see Factors tab):</t>
        </is>
      </c>
    </row>
    <row r="18">
      <c r="A18" t="inlineStr">
        <is>
          <t xml:space="preserve">  • 3 = baseline</t>
        </is>
      </c>
    </row>
    <row r="19">
      <c r="A19" t="inlineStr">
        <is>
          <t xml:space="preserve">  • 1 and 5 require explanation</t>
        </is>
      </c>
    </row>
    <row r="20">
      <c r="A20" t="inlineStr">
        <is>
          <t xml:space="preserve">  • AI automation is a downward adjustment only</t>
        </is>
      </c>
    </row>
    <row r="21">
      <c r="A21" t="inlineStr"/>
    </row>
    <row r="22">
      <c r="A22" t="inlineStr">
        <is>
          <t>Pilot:</t>
        </is>
      </c>
    </row>
    <row r="23">
      <c r="A23" t="inlineStr">
        <is>
          <t xml:space="preserve">  Run 10-20 recent matters through the file:</t>
        </is>
      </c>
    </row>
    <row r="24">
      <c r="A24" t="inlineStr">
        <is>
          <t xml:space="preserve">    pick deliverable → assign scores → calculate price →</t>
        </is>
      </c>
    </row>
    <row r="25">
      <c r="A25" t="inlineStr">
        <is>
          <t xml:space="preserve">    compare to partner's proposal → compare to actual cost → adjust</t>
        </is>
      </c>
    </row>
    <row r="26">
      <c r="A26" t="inlineStr">
        <is>
          <t xml:space="preserve">  Adjust order: base deliverable price → weights → tech/token tiers.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24" customWidth="1" min="3" max="3"/>
    <col width="50" customWidth="1" min="4" max="4"/>
  </cols>
  <sheetData>
    <row r="1">
      <c r="A1" s="2" t="inlineStr">
        <is>
          <t>Deliverable_Name</t>
        </is>
      </c>
      <c r="B1" s="2" t="inlineStr">
        <is>
          <t>Base_Unit_Price</t>
        </is>
      </c>
      <c r="C1" s="2" t="inlineStr">
        <is>
          <t>Typical_Turnaround_Days</t>
        </is>
      </c>
      <c r="D1" s="2" t="inlineStr">
        <is>
          <t>Notes</t>
        </is>
      </c>
    </row>
    <row r="2">
      <c r="A2" s="3" t="inlineStr">
        <is>
          <t>Quick advisory email</t>
        </is>
      </c>
      <c r="B2" s="4" t="n">
        <v>1500</v>
      </c>
      <c r="C2" s="3" t="n">
        <v>2</v>
      </c>
      <c r="D2" s="3" t="inlineStr">
        <is>
          <t>Informal internal response</t>
        </is>
      </c>
    </row>
    <row r="3">
      <c r="A3" s="3" t="inlineStr">
        <is>
          <t>Research memo</t>
        </is>
      </c>
      <c r="B3" s="4" t="n">
        <v>6500</v>
      </c>
      <c r="C3" s="3" t="n">
        <v>7</v>
      </c>
      <c r="D3" s="3" t="inlineStr">
        <is>
          <t>Structured analytical memo</t>
        </is>
      </c>
    </row>
    <row r="4">
      <c r="A4" s="3" t="inlineStr">
        <is>
          <t>Formal opinion</t>
        </is>
      </c>
      <c r="B4" s="4" t="n">
        <v>22000</v>
      </c>
      <c r="C4" s="3" t="n">
        <v>21</v>
      </c>
      <c r="D4" s="3" t="inlineStr">
        <is>
          <t>Workpaper- or client-ready, defensible</t>
        </is>
      </c>
    </row>
    <row r="5">
      <c r="A5" s="3" t="inlineStr">
        <is>
          <t>Transaction cost analysis</t>
        </is>
      </c>
      <c r="B5" s="4" t="n">
        <v>18000</v>
      </c>
      <c r="C5" s="3" t="n">
        <v>14</v>
      </c>
      <c r="D5" s="3" t="inlineStr">
        <is>
          <t>Tax/accounting analysis</t>
        </is>
      </c>
    </row>
    <row r="6">
      <c r="A6" s="3" t="inlineStr">
        <is>
          <t>Workpaper package</t>
        </is>
      </c>
      <c r="B6" s="4" t="n">
        <v>12000</v>
      </c>
      <c r="C6" s="3" t="n">
        <v>10</v>
      </c>
      <c r="D6" s="3" t="inlineStr">
        <is>
          <t>Full supporting documentation</t>
        </is>
      </c>
    </row>
    <row r="7">
      <c r="A7" s="3" t="inlineStr">
        <is>
          <t>Review / second-look</t>
        </is>
      </c>
      <c r="B7" s="4" t="n">
        <v>4000</v>
      </c>
      <c r="C7" s="3" t="n">
        <v>5</v>
      </c>
      <c r="D7" s="3" t="inlineStr">
        <is>
          <t>Reviewer pass on prior deliverable</t>
        </is>
      </c>
    </row>
    <row r="8">
      <c r="A8" s="3" t="inlineStr">
        <is>
          <t>Oral consultation</t>
        </is>
      </c>
      <c r="B8" s="4" t="n">
        <v>2500</v>
      </c>
      <c r="C8" s="3" t="n">
        <v>1</v>
      </c>
      <c r="D8" s="3" t="inlineStr">
        <is>
          <t>Call-based, minimal writeup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  <col width="55" customWidth="1" min="4" max="4"/>
  </cols>
  <sheetData>
    <row r="1">
      <c r="A1" s="5" t="inlineStr">
        <is>
          <t>Scoring notes</t>
        </is>
      </c>
    </row>
    <row r="2">
      <c r="A2" s="6" t="inlineStr">
        <is>
          <t>• 3 = baseline</t>
        </is>
      </c>
    </row>
    <row r="3">
      <c r="A3" s="6" t="inlineStr">
        <is>
          <t>• 1 and 5 require explanation</t>
        </is>
      </c>
    </row>
    <row r="4">
      <c r="A4" s="6" t="inlineStr">
        <is>
          <t>• AI automation is a downward adjustment only</t>
        </is>
      </c>
    </row>
    <row r="6">
      <c r="A6" s="2" t="inlineStr">
        <is>
          <t>Factor_Name</t>
        </is>
      </c>
      <c r="B6" s="2" t="inlineStr">
        <is>
          <t>Score_1</t>
        </is>
      </c>
      <c r="C6" s="2" t="inlineStr">
        <is>
          <t>Score_3</t>
        </is>
      </c>
      <c r="D6" s="2" t="inlineStr">
        <is>
          <t>Score_5</t>
        </is>
      </c>
    </row>
    <row r="7" ht="30" customHeight="1">
      <c r="A7" s="7" t="inlineStr">
        <is>
          <t>Technical complexity / guidance profile</t>
        </is>
      </c>
      <c r="B7" s="7" t="inlineStr">
        <is>
          <t>Settled issue, routine authority, limited judgment</t>
        </is>
      </c>
      <c r="C7" s="7" t="inlineStr">
        <is>
          <t>Moderate analysis, standard research burden</t>
        </is>
      </c>
      <c r="D7" s="7" t="inlineStr">
        <is>
          <t>Novel, ambiguous, conflicting authority, specialist depth needed</t>
        </is>
      </c>
    </row>
    <row r="8" ht="30" customHeight="1">
      <c r="A8" s="7" t="inlineStr">
        <is>
          <t>Economic / stakeholder risk</t>
        </is>
      </c>
      <c r="B8" s="7" t="inlineStr">
        <is>
          <t>Low impact, low visibility</t>
        </is>
      </c>
      <c r="C8" s="7" t="inlineStr">
        <is>
          <t>Moderate impact and visibility</t>
        </is>
      </c>
      <c r="D8" s="7" t="inlineStr">
        <is>
          <t>High materiality, executive visibility, significant exposure</t>
        </is>
      </c>
    </row>
    <row r="9" ht="30" customHeight="1">
      <c r="A9" s="7" t="inlineStr">
        <is>
          <t>Controversy risk</t>
        </is>
      </c>
      <c r="B9" s="7" t="inlineStr">
        <is>
          <t>Unlikely to be challenged</t>
        </is>
      </c>
      <c r="C9" s="7" t="inlineStr">
        <is>
          <t>Plausible review/exam interest</t>
        </is>
      </c>
      <c r="D9" s="7" t="inlineStr">
        <is>
          <t>High likelihood of challenge or controversy sensitivity</t>
        </is>
      </c>
    </row>
    <row r="10" ht="30" customHeight="1">
      <c r="A10" s="7" t="inlineStr">
        <is>
          <t>Deliverable rigor</t>
        </is>
      </c>
      <c r="B10" s="7" t="inlineStr">
        <is>
          <t>Informal internal response</t>
        </is>
      </c>
      <c r="C10" s="7" t="inlineStr">
        <is>
          <t>Structured memo or analytical package</t>
        </is>
      </c>
      <c r="D10" s="7" t="inlineStr">
        <is>
          <t>Formal, defensible, workpaper-ready or client-ready package</t>
        </is>
      </c>
    </row>
    <row r="11" ht="30" customHeight="1">
      <c r="A11" s="7" t="inlineStr">
        <is>
          <t>Scope breadth</t>
        </is>
      </c>
      <c r="B11" s="7" t="inlineStr">
        <is>
          <t>Narrow issue, one entity/period</t>
        </is>
      </c>
      <c r="C11" s="7" t="inlineStr">
        <is>
          <t>Moderate spread</t>
        </is>
      </c>
      <c r="D11" s="7" t="inlineStr">
        <is>
          <t>Broad, multi-entity, multi-year, multi-issue</t>
        </is>
      </c>
    </row>
    <row r="12" ht="30" customHeight="1">
      <c r="A12" s="7" t="inlineStr">
        <is>
          <t>Data quality / accessibility</t>
        </is>
      </c>
      <c r="B12" s="7" t="inlineStr">
        <is>
          <t>Clean, structured, available</t>
        </is>
      </c>
      <c r="C12" s="7" t="inlineStr">
        <is>
          <t>Some gaps/cleanup</t>
        </is>
      </c>
      <c r="D12" s="7" t="inlineStr">
        <is>
          <t>Fragmented, incomplete, conflicting, manual</t>
        </is>
      </c>
    </row>
    <row r="13" ht="30" customHeight="1">
      <c r="A13" s="7" t="inlineStr">
        <is>
          <t>Data sensitivity / governance burden</t>
        </is>
      </c>
      <c r="B13" s="7" t="inlineStr">
        <is>
          <t>Ordinary internal-use data</t>
        </is>
      </c>
      <c r="C13" s="7" t="inlineStr">
        <is>
          <t>Moderate confidentiality constraints</t>
        </is>
      </c>
      <c r="D13" s="7" t="inlineStr">
        <is>
          <t>Highly sensitive, privileged, restricted, governance-heavy</t>
        </is>
      </c>
    </row>
    <row r="14" ht="30" customHeight="1">
      <c r="A14" s="7" t="inlineStr">
        <is>
          <t>AI automation level</t>
        </is>
      </c>
      <c r="B14" s="7" t="inlineStr">
        <is>
          <t>Minimal reusable AI support</t>
        </is>
      </c>
      <c r="C14" s="7" t="inlineStr">
        <is>
          <t>Standard AI-assisted process</t>
        </is>
      </c>
      <c r="D14" s="7" t="inlineStr">
        <is>
          <t>Highly automated, reusable, efficient workflow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4" customWidth="1" min="3" max="3"/>
  </cols>
  <sheetData>
    <row r="1">
      <c r="A1" s="2" t="inlineStr">
        <is>
          <t>Tech_Tier</t>
        </is>
      </c>
      <c r="B1" s="2" t="inlineStr">
        <is>
          <t>Description</t>
        </is>
      </c>
      <c r="C1" s="2" t="inlineStr">
        <is>
          <t>Multiplier</t>
        </is>
      </c>
    </row>
    <row r="2">
      <c r="A2" s="3" t="inlineStr">
        <is>
          <t>T1</t>
        </is>
      </c>
      <c r="B2" s="3" t="inlineStr">
        <is>
          <t>No specialized tooling</t>
        </is>
      </c>
      <c r="C2" s="8" t="n">
        <v>1</v>
      </c>
    </row>
    <row r="3">
      <c r="A3" s="3" t="inlineStr">
        <is>
          <t>T2</t>
        </is>
      </c>
      <c r="B3" s="3" t="inlineStr">
        <is>
          <t>Standard research tooling</t>
        </is>
      </c>
      <c r="C3" s="8" t="n">
        <v>1.1</v>
      </c>
    </row>
    <row r="4">
      <c r="A4" s="3" t="inlineStr">
        <is>
          <t>T3</t>
        </is>
      </c>
      <c r="B4" s="3" t="inlineStr">
        <is>
          <t>Specialized platform / licensed data</t>
        </is>
      </c>
      <c r="C4" s="8" t="n">
        <v>1.25</v>
      </c>
    </row>
    <row r="5">
      <c r="A5" s="3" t="inlineStr">
        <is>
          <t>T4</t>
        </is>
      </c>
      <c r="B5" s="3" t="inlineStr">
        <is>
          <t>Heavy custom tooling / modeling</t>
        </is>
      </c>
      <c r="C5" s="8" t="n">
        <v>1.45</v>
      </c>
    </row>
    <row r="6">
      <c r="A6" s="3" t="inlineStr">
        <is>
          <t>T5</t>
        </is>
      </c>
      <c r="B6" s="3" t="inlineStr">
        <is>
          <t>Bespoke build, multi-system integration</t>
        </is>
      </c>
      <c r="C6" s="8" t="n">
        <v>1.75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</cols>
  <sheetData>
    <row r="1">
      <c r="A1" s="2" t="inlineStr">
        <is>
          <t>Token_Tier</t>
        </is>
      </c>
      <c r="B1" s="2" t="inlineStr">
        <is>
          <t>Est_Tokens</t>
        </is>
      </c>
      <c r="C1" s="2" t="inlineStr">
        <is>
          <t>Token_Cost</t>
        </is>
      </c>
    </row>
    <row r="2">
      <c r="A2" s="3" t="inlineStr">
        <is>
          <t>K1 (&lt;100k)</t>
        </is>
      </c>
      <c r="B2" s="9" t="n">
        <v>50000</v>
      </c>
      <c r="C2" s="4" t="n">
        <v>25</v>
      </c>
    </row>
    <row r="3">
      <c r="A3" s="3" t="inlineStr">
        <is>
          <t>K2 (100k-500k)</t>
        </is>
      </c>
      <c r="B3" s="9" t="n">
        <v>300000</v>
      </c>
      <c r="C3" s="4" t="n">
        <v>150</v>
      </c>
    </row>
    <row r="4">
      <c r="A4" s="3" t="inlineStr">
        <is>
          <t>K3 (500k-2M)</t>
        </is>
      </c>
      <c r="B4" s="9" t="n">
        <v>1200000</v>
      </c>
      <c r="C4" s="4" t="n">
        <v>600</v>
      </c>
    </row>
    <row r="5">
      <c r="A5" s="3" t="inlineStr">
        <is>
          <t>K4 (2M-10M)</t>
        </is>
      </c>
      <c r="B5" s="9" t="n">
        <v>5000000</v>
      </c>
      <c r="C5" s="4" t="n">
        <v>2500</v>
      </c>
    </row>
    <row r="6">
      <c r="A6" s="3" t="inlineStr">
        <is>
          <t>K5 (&gt;10M)</t>
        </is>
      </c>
      <c r="B6" s="9" t="n">
        <v>15000000</v>
      </c>
      <c r="C6" s="4" t="n">
        <v>7500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2" customWidth="1" min="1" max="1"/>
    <col width="32" customWidth="1" min="2" max="2"/>
    <col width="4" customWidth="1" min="3" max="3"/>
    <col width="55" customWidth="1" min="4" max="4"/>
  </cols>
  <sheetData>
    <row r="1">
      <c r="A1" s="10" t="inlineStr">
        <is>
          <t>Matter inputs</t>
        </is>
      </c>
    </row>
    <row r="3">
      <c r="A3" s="11" t="inlineStr">
        <is>
          <t>Blue = input. Black = formula.</t>
        </is>
      </c>
    </row>
    <row r="5">
      <c r="A5" s="12" t="inlineStr">
        <is>
          <t>Matter_ID</t>
        </is>
      </c>
      <c r="B5" s="13" t="inlineStr">
        <is>
          <t>M-0001</t>
        </is>
      </c>
    </row>
    <row r="6">
      <c r="A6" s="12" t="inlineStr">
        <is>
          <t>Matter_Name</t>
        </is>
      </c>
      <c r="B6" s="13" t="inlineStr">
        <is>
          <t>Sample matter</t>
        </is>
      </c>
    </row>
    <row r="7">
      <c r="A7" s="12" t="inlineStr">
        <is>
          <t>Deliverable_Type</t>
        </is>
      </c>
      <c r="B7" s="13" t="inlineStr">
        <is>
          <t>Research memo</t>
        </is>
      </c>
    </row>
    <row r="8">
      <c r="A8" s="12" t="inlineStr">
        <is>
          <t>Tech_Tier</t>
        </is>
      </c>
      <c r="B8" s="13" t="inlineStr">
        <is>
          <t>T2</t>
        </is>
      </c>
    </row>
    <row r="9">
      <c r="A9" s="12" t="inlineStr">
        <is>
          <t>Token_Tier</t>
        </is>
      </c>
      <c r="B9" s="13" t="inlineStr">
        <is>
          <t>K2 (100k-500k)</t>
        </is>
      </c>
    </row>
    <row r="10">
      <c r="A10" s="12" t="inlineStr">
        <is>
          <t>Override_Price</t>
        </is>
      </c>
      <c r="B10" s="14" t="n"/>
      <c r="D10" s="15" t="inlineStr">
        <is>
          <t>If Override_Price is set, Override_Reason and Approver are required.</t>
        </is>
      </c>
    </row>
    <row r="11">
      <c r="A11" s="12" t="inlineStr">
        <is>
          <t>Override_Reason</t>
        </is>
      </c>
      <c r="B11" s="13" t="n"/>
      <c r="D11" s="5">
        <f>IF(AND(ISNUMBER(in_Override),OR(LEN(in_OverrideReason)=0,LEN(in_Approver)=0)),"Missing override justification","OK")</f>
        <v/>
      </c>
    </row>
    <row r="12">
      <c r="A12" s="12" t="inlineStr">
        <is>
          <t>Approver</t>
        </is>
      </c>
      <c r="B12" s="13" t="n"/>
    </row>
  </sheetData>
  <dataValidations count="3">
    <dataValidation sqref="B7" showDropDown="0" showInputMessage="0" showErrorMessage="0" allowBlank="1" error="Pick from Deliverables" prompt="Pick from Deliverables" type="list">
      <formula1>=INDIRECT("Deliverables[Deliverable_Name]")</formula1>
    </dataValidation>
    <dataValidation sqref="B8" showDropDown="0" showInputMessage="0" showErrorMessage="0" allowBlank="1" type="list">
      <formula1>=INDIRECT("TechTable[Tech_Tier]")</formula1>
    </dataValidation>
    <dataValidation sqref="B9" showDropDown="0" showInputMessage="0" showErrorMessage="0" allowBlank="1" type="list">
      <formula1>=INDIRECT("TokenTable[Token_Tier]")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50" customWidth="1" min="1" max="1"/>
    <col width="22" customWidth="1" min="2" max="2"/>
    <col width="12" customWidth="1" min="3" max="3"/>
    <col width="16" customWidth="1" min="4" max="4"/>
  </cols>
  <sheetData>
    <row r="1">
      <c r="A1" s="10" t="inlineStr">
        <is>
          <t>Unit Price Calculation</t>
        </is>
      </c>
    </row>
    <row r="3">
      <c r="A3" t="inlineStr">
        <is>
          <t>Matter:</t>
        </is>
      </c>
      <c r="B3" s="16">
        <f>in_MatterName</f>
        <v/>
      </c>
    </row>
    <row r="4">
      <c r="A4" t="inlineStr">
        <is>
          <t>Deliverable:</t>
        </is>
      </c>
      <c r="B4" s="16">
        <f>in_Deliverable</f>
        <v/>
      </c>
    </row>
    <row r="6">
      <c r="A6" s="2" t="inlineStr">
        <is>
          <t>Factor_Name</t>
        </is>
      </c>
      <c r="B6" s="2" t="inlineStr">
        <is>
          <t>Weight</t>
        </is>
      </c>
      <c r="C6" s="2" t="inlineStr">
        <is>
          <t>Score</t>
        </is>
      </c>
      <c r="D6" s="2" t="inlineStr">
        <is>
          <t>Contribution</t>
        </is>
      </c>
    </row>
    <row r="7">
      <c r="A7" s="3" t="inlineStr">
        <is>
          <t>Technical complexity / guidance profile</t>
        </is>
      </c>
      <c r="B7" s="17" t="n">
        <v>0.2</v>
      </c>
      <c r="C7" s="13" t="n">
        <v>3</v>
      </c>
      <c r="D7" s="18">
        <f>[@Weight]*[@Score]</f>
        <v/>
      </c>
    </row>
    <row r="8">
      <c r="A8" s="3" t="inlineStr">
        <is>
          <t>Economic / stakeholder risk</t>
        </is>
      </c>
      <c r="B8" s="17" t="n">
        <v>0.15</v>
      </c>
      <c r="C8" s="13" t="n">
        <v>3</v>
      </c>
      <c r="D8" s="18">
        <f>[@Weight]*[@Score]</f>
        <v/>
      </c>
    </row>
    <row r="9">
      <c r="A9" s="3" t="inlineStr">
        <is>
          <t>Controversy risk</t>
        </is>
      </c>
      <c r="B9" s="17" t="n">
        <v>0.15</v>
      </c>
      <c r="C9" s="13" t="n">
        <v>3</v>
      </c>
      <c r="D9" s="18">
        <f>[@Weight]*[@Score]</f>
        <v/>
      </c>
    </row>
    <row r="10">
      <c r="A10" s="3" t="inlineStr">
        <is>
          <t>Deliverable rigor</t>
        </is>
      </c>
      <c r="B10" s="17" t="n">
        <v>0.15</v>
      </c>
      <c r="C10" s="13" t="n">
        <v>3</v>
      </c>
      <c r="D10" s="18">
        <f>[@Weight]*[@Score]</f>
        <v/>
      </c>
    </row>
    <row r="11">
      <c r="A11" s="3" t="inlineStr">
        <is>
          <t>Scope breadth</t>
        </is>
      </c>
      <c r="B11" s="17" t="n">
        <v>0.1</v>
      </c>
      <c r="C11" s="13" t="n">
        <v>3</v>
      </c>
      <c r="D11" s="18">
        <f>[@Weight]*[@Score]</f>
        <v/>
      </c>
    </row>
    <row r="12">
      <c r="A12" s="3" t="inlineStr">
        <is>
          <t>Data quality / accessibility</t>
        </is>
      </c>
      <c r="B12" s="17" t="n">
        <v>0.1</v>
      </c>
      <c r="C12" s="13" t="n">
        <v>3</v>
      </c>
      <c r="D12" s="18">
        <f>[@Weight]*[@Score]</f>
        <v/>
      </c>
    </row>
    <row r="13">
      <c r="A13" s="3" t="inlineStr">
        <is>
          <t>Data sensitivity / governance burden</t>
        </is>
      </c>
      <c r="B13" s="17" t="n">
        <v>0.1</v>
      </c>
      <c r="C13" s="13" t="n">
        <v>3</v>
      </c>
      <c r="D13" s="18">
        <f>[@Weight]*[@Score]</f>
        <v/>
      </c>
    </row>
    <row r="14">
      <c r="A14" s="3" t="inlineStr">
        <is>
          <t>AI automation level</t>
        </is>
      </c>
      <c r="B14" s="17" t="n">
        <v>0.05</v>
      </c>
      <c r="C14" s="13" t="n">
        <v>3</v>
      </c>
      <c r="D14" s="18">
        <f>[@Weight]*[@Score]</f>
        <v/>
      </c>
    </row>
    <row r="17">
      <c r="A17" s="12" t="inlineStr">
        <is>
          <t>Weighted factor score (w̄)</t>
        </is>
      </c>
      <c r="B17" s="18">
        <f>SUMPRODUCT(CalcFactors[Weight],CalcFactors[Score])</f>
        <v/>
      </c>
    </row>
    <row r="18">
      <c r="A18" s="12" t="inlineStr">
        <is>
          <t>Factor multiplier (0.5 at w̄=1, 1.0 at 3, 1.5 at 5)</t>
        </is>
      </c>
      <c r="B18" s="18">
        <f>0.25*B17+0.25</f>
        <v/>
      </c>
    </row>
    <row r="19">
      <c r="A19" s="12" t="inlineStr">
        <is>
          <t>Base deliverable price</t>
        </is>
      </c>
      <c r="B19" s="19">
        <f>VLOOKUP(in_Deliverable,Deliverables[[Deliverable_Name]:[Base_Unit_Price]],2,FALSE)</f>
        <v/>
      </c>
    </row>
    <row r="20">
      <c r="A20" s="12" t="inlineStr">
        <is>
          <t>Tech multiplier</t>
        </is>
      </c>
      <c r="B20" s="20">
        <f>VLOOKUP(in_TechTier,TechTable[[Tech_Tier]:[Multiplier]],3,FALSE)</f>
        <v/>
      </c>
    </row>
    <row r="21">
      <c r="A21" s="12" t="inlineStr">
        <is>
          <t>Token add-on</t>
        </is>
      </c>
      <c r="B21" s="19">
        <f>VLOOKUP(in_TokenTier,TokenTable[[Token_Tier]:[Token_Cost]],3,FALSE)</f>
        <v/>
      </c>
    </row>
    <row r="22">
      <c r="A22" s="12" t="inlineStr">
        <is>
          <t>AI automation score (1-5)</t>
        </is>
      </c>
      <c r="B22" s="21">
        <f>INDEX(CalcFactors[Score],MATCH("AI automation level",CalcFactors[Factor_Name],0))</f>
        <v/>
      </c>
    </row>
    <row r="23">
      <c r="A23" s="12" t="inlineStr">
        <is>
          <t>AI automation discount (downward only)</t>
        </is>
      </c>
      <c r="B23" s="22">
        <f>MAX(0,(B22-3)/2)*0.15</f>
        <v/>
      </c>
    </row>
    <row r="24">
      <c r="A24" s="12" t="inlineStr">
        <is>
          <t>Subtotal (base × factor × tech + token)</t>
        </is>
      </c>
      <c r="B24" s="19">
        <f>B19*B18*B20+B21</f>
        <v/>
      </c>
    </row>
    <row r="25">
      <c r="A25" s="12" t="inlineStr">
        <is>
          <t>Unit Price (calculated)</t>
        </is>
      </c>
      <c r="B25" s="19">
        <f>B24*(1-B23)</f>
        <v/>
      </c>
    </row>
    <row r="26">
      <c r="A26" s="12" t="inlineStr">
        <is>
          <t>Override in effect?</t>
        </is>
      </c>
      <c r="B26" s="23">
        <f>IF(ISNUMBER(in_Override),"YES","no")</f>
        <v/>
      </c>
    </row>
    <row r="27">
      <c r="A27" s="24" t="inlineStr">
        <is>
          <t>Final Unit Price</t>
        </is>
      </c>
      <c r="B27" s="25">
        <f>IF(ISNUMBER(in_Override),in_Override,B25)</f>
        <v/>
      </c>
    </row>
  </sheetData>
  <conditionalFormatting sqref="C7:C14">
    <cfRule type="cellIs" priority="1" operator="lessThanOrEqual" dxfId="0">
      <formula>2</formula>
    </cfRule>
    <cfRule type="cellIs" priority="2" operator="equal" dxfId="1">
      <formula>3</formula>
    </cfRule>
    <cfRule type="cellIs" priority="3" operator="greaterThanOrEqual" dxfId="2">
      <formula>4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2" customWidth="1" min="3" max="3"/>
    <col width="20" customWidth="1" min="4" max="4"/>
    <col width="20" customWidth="1" min="5" max="5"/>
    <col width="20" customWidth="1" min="6" max="6"/>
    <col width="12" customWidth="1" min="7" max="7"/>
    <col width="26" customWidth="1" min="8" max="8"/>
    <col width="22" customWidth="1" min="9" max="9"/>
    <col width="22" customWidth="1" min="10" max="10"/>
    <col width="40" customWidth="1" min="11" max="11"/>
  </cols>
  <sheetData>
    <row r="1">
      <c r="A1" s="2" t="inlineStr">
        <is>
          <t>Matter_ID</t>
        </is>
      </c>
      <c r="B1" s="2" t="inlineStr">
        <is>
          <t>Matter_Name</t>
        </is>
      </c>
      <c r="C1" s="2" t="inlineStr">
        <is>
          <t>Deliverable_Type</t>
        </is>
      </c>
      <c r="D1" s="2" t="inlineStr">
        <is>
          <t>Proposed_Unit_Price</t>
        </is>
      </c>
      <c r="E1" s="2" t="inlineStr">
        <is>
          <t>Actual_Final_Price</t>
        </is>
      </c>
      <c r="F1" s="2" t="inlineStr">
        <is>
          <t>Actual_Effort_Cost</t>
        </is>
      </c>
      <c r="G1" s="2" t="inlineStr">
        <is>
          <t>Margin_%</t>
        </is>
      </c>
      <c r="H1" s="2" t="inlineStr">
        <is>
          <t>Partner_Feedback</t>
        </is>
      </c>
      <c r="I1" s="2" t="inlineStr">
        <is>
          <t>Client_Reaction</t>
        </is>
      </c>
      <c r="J1" s="2" t="inlineStr">
        <is>
          <t>Adjustment_Needed</t>
        </is>
      </c>
      <c r="K1" s="2" t="inlineStr">
        <is>
          <t>Notes</t>
        </is>
      </c>
    </row>
    <row r="2">
      <c r="A2" s="3" t="n"/>
      <c r="B2" s="3" t="n"/>
      <c r="C2" s="3" t="n"/>
      <c r="D2" s="4" t="n"/>
      <c r="E2" s="4" t="n"/>
      <c r="F2" s="4" t="n"/>
      <c r="G2" s="22">
        <f>IFERROR(([@Actual_Final_Price]-[@Actual_Effort_Cost])/[@Actual_Final_Price],0)</f>
        <v/>
      </c>
      <c r="H2" s="3" t="n"/>
      <c r="I2" s="3" t="n"/>
      <c r="J2" s="3" t="n"/>
      <c r="K2" s="3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2026-04-23T22:19:10Z</dcterms:created>
  <dcterms:modified xsi:type="dcterms:W3CDTF">2026-04-23T22:19:10Z</dcterms:modified>
</cp:coreProperties>
</file>